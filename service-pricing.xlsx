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Pricing" sheetId="1" state="visible" r:id="rId1"/>
    <sheet xmlns:r="http://schemas.openxmlformats.org/officeDocument/2006/relationships" name="Cost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6B7280"/>
      <sz val="9"/>
    </font>
    <font>
      <name val="Arial"/>
      <color rgb="000000FF"/>
      <sz val="10"/>
    </font>
    <font>
      <name val="Arial"/>
      <i val="1"/>
      <sz val="9"/>
    </font>
    <font>
      <name val="Arial"/>
      <b val="1"/>
      <color rgb="006B7280"/>
      <sz val="10"/>
    </font>
    <font>
      <name val="Arial"/>
      <b val="1"/>
      <sz val="9"/>
    </font>
    <font>
      <name val="Arial"/>
      <color rgb="000000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pivotButton="0" quotePrefix="0" xfId="0"/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2" fillId="0" borderId="0" pivotButton="0" quotePrefix="0" xfId="0"/>
    <xf numFmtId="164" fontId="2" fillId="0" borderId="2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24" customWidth="1" min="4" max="4"/>
    <col width="38" customWidth="1" min="5" max="5"/>
    <col width="34" customWidth="1" min="6" max="6"/>
    <col width="34" customWidth="1" min="7" max="7"/>
  </cols>
  <sheetData>
    <row r="1">
      <c r="A1" s="1" t="inlineStr">
        <is>
          <t>Service</t>
        </is>
      </c>
      <c r="B1" s="1" t="inlineStr">
        <is>
          <t>Role in Stack</t>
        </is>
      </c>
      <c r="C1" s="1" t="inlineStr">
        <is>
          <t>Free Tier</t>
        </is>
      </c>
      <c r="D1" s="1" t="inlineStr">
        <is>
          <t>Paid Entry Point</t>
        </is>
      </c>
      <c r="E1" s="1" t="inlineStr">
        <is>
          <t>Usage / Overage Pricing</t>
        </is>
      </c>
      <c r="F1" s="1" t="inlineStr">
        <is>
          <t>Notes</t>
        </is>
      </c>
      <c r="G1" s="1" t="inlineStr">
        <is>
          <t>Source</t>
        </is>
      </c>
    </row>
    <row r="2">
      <c r="A2" s="2" t="inlineStr">
        <is>
          <t>Supabase</t>
        </is>
      </c>
      <c r="B2" s="3" t="inlineStr">
        <is>
          <t>Auth + Postgres database</t>
        </is>
      </c>
      <c r="C2" s="3" t="inlineStr">
        <is>
          <t>500 MB DB, 50K MAUs, 5 GB egress, 2 projects; pauses after 1 week inactivity</t>
        </is>
      </c>
      <c r="D2" s="3" t="inlineStr">
        <is>
          <t>$25/mo (Pro, per org)</t>
        </is>
      </c>
      <c r="E2" s="3" t="inlineStr">
        <is>
          <t>$0.09/GB egress; $0.00325 per extra MAU; Pro includes $10 compute credit</t>
        </is>
      </c>
      <c r="F2" s="3" t="inlineStr">
        <is>
          <t>Team plan = $599/mo (SOC2, 14-day backups)</t>
        </is>
      </c>
      <c r="G2" s="3" t="inlineStr">
        <is>
          <t>uibakery.io/blog/supabase-pricing</t>
        </is>
      </c>
    </row>
    <row r="3">
      <c r="A3" s="4" t="inlineStr">
        <is>
          <t>Google Gemini</t>
        </is>
      </c>
      <c r="B3" s="5" t="inlineStr">
        <is>
          <t>AI repo scanning + fix generation</t>
        </is>
      </c>
      <c r="C3" s="5" t="inlineStr">
        <is>
          <t>Yes - free tier with rate limits</t>
        </is>
      </c>
      <c r="D3" s="5" t="inlineStr">
        <is>
          <t>Pay-as-you-go (no subscription)</t>
        </is>
      </c>
      <c r="E3" s="5" t="inlineStr">
        <is>
          <t>2.5 Pro: $1.25 in / $10 out per 1M tokens (&lt;200K prompt); 2.5 Flash: $0.15 in / $1.25 out</t>
        </is>
      </c>
      <c r="F3" s="5" t="inlineStr">
        <is>
          <t>Thinking tokens billed as output; batch API = 50% off; only truly usage-scaling cost in the stack</t>
        </is>
      </c>
      <c r="G3" s="5" t="inlineStr">
        <is>
          <t>ai.google.dev/gemini-api/docs/pricing</t>
        </is>
      </c>
    </row>
    <row r="4">
      <c r="A4" s="2" t="inlineStr">
        <is>
          <t>Arcjet</t>
        </is>
      </c>
      <c r="B4" s="3" t="inlineStr">
        <is>
          <t>Rate limiting / bot protection</t>
        </is>
      </c>
      <c r="C4" s="3" t="inlineStr">
        <is>
          <t>Yes - side project / dev tier</t>
        </is>
      </c>
      <c r="D4" s="3" t="inlineStr">
        <is>
          <t>$25/mo per app (Individual)</t>
        </is>
      </c>
      <c r="E4" s="3" t="inlineStr">
        <is>
          <t>$5 per 1M requests base; +$0.50 per 1M bot detection; +$2 per 1M advanced bot signals</t>
        </is>
      </c>
      <c r="F4" s="3" t="inlineStr">
        <is>
          <t>Startup = $299/mo, Growth = $799/mo</t>
        </is>
      </c>
      <c r="G4" s="3" t="inlineStr">
        <is>
          <t>arcjet.com/pricing</t>
        </is>
      </c>
    </row>
    <row r="5">
      <c r="A5" s="4" t="inlineStr">
        <is>
          <t>GitHub</t>
        </is>
      </c>
      <c r="B5" s="5" t="inlineStr">
        <is>
          <t>OAuth app, PATs, webhooks, fix PRs</t>
        </is>
      </c>
      <c r="C5" s="5" t="inlineStr">
        <is>
          <t>Yes - unlimited public/private repos; OAuth apps and webhooks free</t>
        </is>
      </c>
      <c r="D5" s="5" t="inlineStr">
        <is>
          <t>$4/user/mo (Team) - not needed</t>
        </is>
      </c>
      <c r="E5" s="5" t="inlineStr">
        <is>
          <t>None for current integration</t>
        </is>
      </c>
      <c r="F5" s="5" t="inlineStr">
        <is>
          <t>Current usage costs $0</t>
        </is>
      </c>
      <c r="G5" s="5" t="inlineStr">
        <is>
          <t>github.com/pricing</t>
        </is>
      </c>
    </row>
    <row r="6">
      <c r="A6" s="2" t="inlineStr">
        <is>
          <t>Jira</t>
        </is>
      </c>
      <c r="B6" s="3" t="inlineStr">
        <is>
          <t>Ticket workflow integration</t>
        </is>
      </c>
      <c r="C6" s="3" t="inlineStr">
        <is>
          <t>Free up to 10 users, 2 GB storage, 100 automation runs/mo</t>
        </is>
      </c>
      <c r="D6" s="3" t="inlineStr">
        <is>
          <t>~$7.91/user/mo (Standard)</t>
        </is>
      </c>
      <c r="E6" s="3" t="inlineStr">
        <is>
          <t>Per-seat; rate steps down past ~100 seats</t>
        </is>
      </c>
      <c r="F6" s="3" t="inlineStr">
        <is>
          <t>Premium ~$14.54/user/mo; annual billing cheaper</t>
        </is>
      </c>
      <c r="G6" s="3" t="inlineStr">
        <is>
          <t>tech.co/project-management-software/jira-pricing</t>
        </is>
      </c>
    </row>
    <row r="7">
      <c r="A7" s="4" t="inlineStr">
        <is>
          <t>Redis</t>
        </is>
      </c>
      <c r="B7" s="5" t="inlineStr">
        <is>
          <t>BullMQ job queue (API + worker)</t>
        </is>
      </c>
      <c r="C7" s="5" t="inlineStr">
        <is>
          <t>Self-hosted (free software)</t>
        </is>
      </c>
      <c r="D7" s="5" t="inlineStr">
        <is>
          <t>Billed as Railway container usage</t>
        </is>
      </c>
      <c r="E7" s="5" t="inlineStr">
        <is>
          <t>Railway per-second vCPU/RAM rates</t>
        </is>
      </c>
      <c r="F7" s="5" t="inlineStr">
        <is>
          <t>Typically a few $/mo as a small Railway service</t>
        </is>
      </c>
      <c r="G7" s="5" t="inlineStr">
        <is>
          <t>docs.railway.com/pricing/plans</t>
        </is>
      </c>
    </row>
    <row r="8">
      <c r="A8" s="2" t="inlineStr">
        <is>
          <t>Railway</t>
        </is>
      </c>
      <c r="B8" s="3" t="inlineStr">
        <is>
          <t>Hosting (API server, worker, Redis)</t>
        </is>
      </c>
      <c r="C8" s="3" t="inlineStr">
        <is>
          <t>30-day $5 trial, then $1/mo free credit</t>
        </is>
      </c>
      <c r="D8" s="3" t="inlineStr">
        <is>
          <t>$5/mo (Hobby, includes $5 usage)</t>
        </is>
      </c>
      <c r="E8" s="3" t="inlineStr">
        <is>
          <t>Per-second vCPU + RAM, plus egress and volume storage above included credit</t>
        </is>
      </c>
      <c r="F8" s="3" t="inlineStr">
        <is>
          <t>Pro = $20/seat/mo incl. $20 usage</t>
        </is>
      </c>
      <c r="G8" s="3" t="inlineStr">
        <is>
          <t>docs.railway.com/pricing/plans</t>
        </is>
      </c>
    </row>
    <row r="9">
      <c r="A9" s="4" t="inlineStr">
        <is>
          <t>Cloudflare</t>
        </is>
      </c>
      <c r="B9" s="5" t="inlineStr">
        <is>
          <t>DNS / CDN / proxy</t>
        </is>
      </c>
      <c r="C9" s="5" t="inlineStr">
        <is>
          <t>Yes - unmetered bandwidth, universal SSL, 5 firewall rules, 1 rate-limit rule</t>
        </is>
      </c>
      <c r="D9" s="5" t="inlineStr">
        <is>
          <t>$20/mo (Pro, annual) or $25/mo monthly</t>
        </is>
      </c>
      <c r="E9" s="5" t="inlineStr">
        <is>
          <t>None on Free/Pro core features</t>
        </is>
      </c>
      <c r="F9" s="5" t="inlineStr">
        <is>
          <t>Free plan is adequate at current stage; registrar transfers are at-cost</t>
        </is>
      </c>
      <c r="G9" s="5" t="inlineStr">
        <is>
          <t>eastondev.com/blog/en/posts/dev/20251201-cloudflare-pricing-compare</t>
        </is>
      </c>
    </row>
    <row r="10">
      <c r="A10" s="2" t="inlineStr">
        <is>
          <t>Resend</t>
        </is>
      </c>
      <c r="B10" s="3" t="inlineStr">
        <is>
          <t>Transactional email (auth emails etc.)</t>
        </is>
      </c>
      <c r="C10" s="3" t="inlineStr">
        <is>
          <t>3,000 emails/mo, 100/day cap, 1 domain</t>
        </is>
      </c>
      <c r="D10" s="3" t="inlineStr">
        <is>
          <t>$20/mo (Pro, 50K emails)</t>
        </is>
      </c>
      <c r="E10" s="3" t="inlineStr">
        <is>
          <t>Per-1,000-email overage above plan volume; Scale from $90/mo (100K emails)</t>
        </is>
      </c>
      <c r="F10" s="3" t="inlineStr">
        <is>
          <t>Pro removes daily cap, allows 10 domains; monthly billing only</t>
        </is>
      </c>
      <c r="G10" s="3" t="inlineStr">
        <is>
          <t>resend.com/pricing</t>
        </is>
      </c>
    </row>
    <row r="11">
      <c r="A11" s="4" t="inlineStr">
        <is>
          <t>Google Workspace</t>
        </is>
      </c>
      <c r="B11" s="5" t="inlineStr">
        <is>
          <t>Custom-domain email / workspace</t>
        </is>
      </c>
      <c r="C11" s="5" t="inlineStr">
        <is>
          <t>None (14-day trial only)</t>
        </is>
      </c>
      <c r="D11" s="5" t="inlineStr">
        <is>
          <t>Rs.99/user/mo (Base plan, India-direct) ~ $1.03</t>
        </is>
      </c>
      <c r="E11" s="5" t="inlineStr">
        <is>
          <t>India-direct: Starter Rs.270, Standard Rs.1,080/user/mo; 18% GST added at checkout</t>
        </is>
      </c>
      <c r="F11" s="5" t="inlineStr">
        <is>
          <t>User is on the India starting plan (Base). Promo Rs.49.50/mo for 3 months thru Nov 2026; annual billing = 16% off</t>
        </is>
      </c>
      <c r="G11" s="5" t="inlineStr">
        <is>
          <t>workspace.google.com/intl/en_in/pricing.html</t>
        </is>
      </c>
    </row>
    <row r="12">
      <c r="A12" s="2" t="inlineStr">
        <is>
          <t>GoDaddy</t>
        </is>
      </c>
      <c r="B12" s="3" t="inlineStr">
        <is>
          <t>Domain registrar</t>
        </is>
      </c>
      <c r="C12" s="3" t="inlineStr">
        <is>
          <t>None</t>
        </is>
      </c>
      <c r="D12" s="3" t="inlineStr">
        <is>
          <t>~$12 first year (.com)</t>
        </is>
      </c>
      <c r="E12" s="3" t="inlineStr">
        <is>
          <t>Renewal ~$22-23/yr (.com)</t>
        </is>
      </c>
      <c r="F12" s="3" t="inlineStr">
        <is>
          <t>Transfer to Cloudflare Registrar = at-cost ~$10.50/yr</t>
        </is>
      </c>
      <c r="G12" s="3" t="inlineStr">
        <is>
          <t>hostingrevelations.com/godaddy-renewal-price-list</t>
        </is>
      </c>
    </row>
    <row r="14">
      <c r="A14" s="6" t="inlineStr">
        <is>
          <t>Prices verified via web sources, July 2026. All prices USD. See Cost Scenarios tab for monthly estimates.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8" customWidth="1" min="4" max="4"/>
    <col width="52" customWidth="1" min="5" max="5"/>
  </cols>
  <sheetData>
    <row r="1">
      <c r="A1" s="1" t="inlineStr">
        <is>
          <t>Service</t>
        </is>
      </c>
      <c r="B1" s="1" t="inlineStr">
        <is>
          <t>All Free Tiers ($/mo)</t>
        </is>
      </c>
      <c r="C1" s="1" t="inlineStr">
        <is>
          <t>Light Production ($/mo)</t>
        </is>
      </c>
      <c r="D1" s="1" t="inlineStr">
        <is>
          <t>Full Paid ($/mo)</t>
        </is>
      </c>
      <c r="E1" s="1" t="inlineStr">
        <is>
          <t>Assumption</t>
        </is>
      </c>
    </row>
    <row r="2">
      <c r="A2" s="7" t="inlineStr">
        <is>
          <t>Supabase</t>
        </is>
      </c>
      <c r="B2" s="8" t="n">
        <v>0</v>
      </c>
      <c r="C2" s="8" t="n">
        <v>25</v>
      </c>
      <c r="D2" s="8" t="n">
        <v>25</v>
      </c>
      <c r="E2" s="9" t="inlineStr">
        <is>
          <t>Free tier -&gt; Pro at $25/mo</t>
        </is>
      </c>
    </row>
    <row r="3">
      <c r="A3" s="7" t="inlineStr">
        <is>
          <t>Google Gemini</t>
        </is>
      </c>
      <c r="B3" s="10" t="n">
        <v>0</v>
      </c>
      <c r="C3" s="10" t="n">
        <v>12.5</v>
      </c>
      <c r="D3" s="10" t="n">
        <v>40</v>
      </c>
      <c r="E3" s="9" t="inlineStr">
        <is>
          <t>Light: ~10 Pro scans/mo; Full: heavy scanning (estimates - edit to match usage)</t>
        </is>
      </c>
    </row>
    <row r="4">
      <c r="A4" s="7" t="inlineStr">
        <is>
          <t>Arcjet</t>
        </is>
      </c>
      <c r="B4" s="8" t="n">
        <v>0</v>
      </c>
      <c r="C4" s="8" t="n">
        <v>0</v>
      </c>
      <c r="D4" s="8" t="n">
        <v>25</v>
      </c>
      <c r="E4" s="9" t="inlineStr">
        <is>
          <t>Free tier until traffic justifies Individual plan</t>
        </is>
      </c>
    </row>
    <row r="5">
      <c r="A5" s="7" t="inlineStr">
        <is>
          <t>GitHub</t>
        </is>
      </c>
      <c r="B5" s="8" t="n">
        <v>0</v>
      </c>
      <c r="C5" s="8" t="n">
        <v>0</v>
      </c>
      <c r="D5" s="8" t="n">
        <v>0</v>
      </c>
      <c r="E5" s="9" t="inlineStr">
        <is>
          <t>OAuth apps, PATs, webhooks all free</t>
        </is>
      </c>
    </row>
    <row r="6">
      <c r="A6" s="7" t="inlineStr">
        <is>
          <t>Jira</t>
        </is>
      </c>
      <c r="B6" s="8" t="n">
        <v>0</v>
      </c>
      <c r="C6" s="8" t="n">
        <v>0</v>
      </c>
      <c r="D6" s="8" t="n">
        <v>39.55</v>
      </c>
      <c r="E6" s="9" t="inlineStr">
        <is>
          <t>Free (&lt;=10 users) -&gt; Standard x 5 users @ $7.91</t>
        </is>
      </c>
    </row>
    <row r="7">
      <c r="A7" s="7" t="inlineStr">
        <is>
          <t>Redis (on Railway)</t>
        </is>
      </c>
      <c r="B7" s="8" t="n">
        <v>0</v>
      </c>
      <c r="C7" s="8" t="n">
        <v>3</v>
      </c>
      <c r="D7" s="8" t="n">
        <v>5</v>
      </c>
      <c r="E7" s="9" t="inlineStr">
        <is>
          <t>Small container usage, billed inside Railway</t>
        </is>
      </c>
    </row>
    <row r="8">
      <c r="A8" s="7" t="inlineStr">
        <is>
          <t>Railway</t>
        </is>
      </c>
      <c r="B8" s="8" t="n">
        <v>5</v>
      </c>
      <c r="C8" s="8" t="n">
        <v>10</v>
      </c>
      <c r="D8" s="8" t="n">
        <v>20</v>
      </c>
      <c r="E8" s="9" t="inlineStr">
        <is>
          <t>Hobby $5 -&gt; Hobby + overage -&gt; Pro seat $20</t>
        </is>
      </c>
    </row>
    <row r="9">
      <c r="A9" s="7" t="inlineStr">
        <is>
          <t>Cloudflare</t>
        </is>
      </c>
      <c r="B9" s="8" t="n">
        <v>0</v>
      </c>
      <c r="C9" s="8" t="n">
        <v>0</v>
      </c>
      <c r="D9" s="8" t="n">
        <v>20</v>
      </c>
      <c r="E9" s="9" t="inlineStr">
        <is>
          <t>Free plan -&gt; Pro</t>
        </is>
      </c>
    </row>
    <row r="10">
      <c r="A10" s="7" t="inlineStr">
        <is>
          <t>Resend</t>
        </is>
      </c>
      <c r="B10" s="8" t="n">
        <v>0</v>
      </c>
      <c r="C10" s="8" t="n">
        <v>0</v>
      </c>
      <c r="D10" s="8" t="n">
        <v>20</v>
      </c>
      <c r="E10" s="9" t="inlineStr">
        <is>
          <t>Free (3K emails/mo) -&gt; Pro at $20/mo (50K emails)</t>
        </is>
      </c>
    </row>
    <row r="11">
      <c r="A11" s="7" t="inlineStr">
        <is>
          <t>Google Workspace</t>
        </is>
      </c>
      <c r="B11" s="11">
        <f>99*1.18/96.5</f>
        <v/>
      </c>
      <c r="C11" s="11">
        <f>99*1.18/96.5</f>
        <v/>
      </c>
      <c r="D11" s="11">
        <f>99*1.18/96.5</f>
        <v/>
      </c>
      <c r="E11" s="9">
        <f>99*1.18/96.5 - Base plan Rs.99/user/mo + 18% GST, 1 user, at Rs.96.5/USD (Jul 2026)</f>
        <v/>
      </c>
    </row>
    <row r="12">
      <c r="A12" s="7" t="inlineStr">
        <is>
          <t>GoDaddy domain</t>
        </is>
      </c>
      <c r="B12" s="11">
        <f>22.99/12</f>
        <v/>
      </c>
      <c r="C12" s="11">
        <f>22.99/12</f>
        <v/>
      </c>
      <c r="D12" s="11">
        <f>22.99/12</f>
        <v/>
      </c>
      <c r="E12" s="9">
        <f>22.99/12 - .com renewal amortized monthly</f>
        <v/>
      </c>
    </row>
    <row r="13">
      <c r="A13" s="12" t="inlineStr">
        <is>
          <t>TOTAL / month</t>
        </is>
      </c>
      <c r="B13" s="13">
        <f>SUM(B2:B12)</f>
        <v/>
      </c>
      <c r="C13" s="13">
        <f>SUM(C2:C12)</f>
        <v/>
      </c>
      <c r="D13" s="13">
        <f>SUM(D2:D12)</f>
        <v/>
      </c>
    </row>
    <row r="14">
      <c r="A14" s="14" t="inlineStr">
        <is>
          <t>TOTAL / year</t>
        </is>
      </c>
      <c r="B14" s="15">
        <f>B13*12</f>
        <v/>
      </c>
      <c r="C14" s="15">
        <f>C13*12</f>
        <v/>
      </c>
      <c r="D14" s="15">
        <f>D13*12</f>
        <v/>
      </c>
    </row>
    <row r="16">
      <c r="A16" s="16" t="inlineStr">
        <is>
          <t>Legend:</t>
        </is>
      </c>
    </row>
    <row r="17">
      <c r="A17" s="17" t="inlineStr">
        <is>
          <t>Blue numbers = editable inputs (plan prices / estimates you can change)</t>
        </is>
      </c>
    </row>
    <row r="18">
      <c r="A18" s="18" t="inlineStr">
        <is>
          <t>Yellow cells = key assumptions - tune Gemini usage estimates to your actual scan volume</t>
        </is>
      </c>
    </row>
    <row r="19">
      <c r="A19" s="19" t="inlineStr">
        <is>
          <t>Black numbers = formulas (totals, domain amortization) - recalculate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2026-07-23T16:23:17Z</dcterms:created>
  <dcterms:modified xmlns:dcterms="http://purl.org/dc/terms/" xmlns:xsi="http://www.w3.org/2001/XMLSchema-instance" xsi:type="dcterms:W3CDTF">2026-07-23T16:23:18Z</dcterms:modified>
</cp:coreProperties>
</file>